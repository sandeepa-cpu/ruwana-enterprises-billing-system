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43" i="1" l="1"/>
  <c r="L32" i="1" l="1"/>
  <c r="L38" i="1" l="1"/>
  <c r="L33" i="1" l="1"/>
  <c r="L22" i="1" l="1"/>
  <c r="L35" i="1" l="1"/>
  <c r="O65" i="1" l="1"/>
  <c r="N65" i="1"/>
  <c r="J65" i="1"/>
  <c r="H65" i="1"/>
  <c r="L30" i="1" l="1"/>
  <c r="L29" i="1" l="1"/>
  <c r="L28" i="1"/>
  <c r="L3" i="1" l="1"/>
  <c r="L25" i="1"/>
  <c r="L26" i="1"/>
  <c r="L27" i="1"/>
  <c r="L24" i="1"/>
  <c r="L23" i="1"/>
  <c r="L9" i="1"/>
  <c r="L12" i="1"/>
  <c r="L18" i="1"/>
  <c r="L13" i="1"/>
  <c r="L11" i="1"/>
  <c r="L10" i="1"/>
  <c r="L65" i="1" l="1"/>
</calcChain>
</file>

<file path=xl/sharedStrings.xml><?xml version="1.0" encoding="utf-8"?>
<sst xmlns="http://schemas.openxmlformats.org/spreadsheetml/2006/main" count="173" uniqueCount="92">
  <si>
    <t xml:space="preserve">V.NUMBER </t>
  </si>
  <si>
    <t>MODEL</t>
  </si>
  <si>
    <t>INSURANCE</t>
  </si>
  <si>
    <t>LABOUR</t>
  </si>
  <si>
    <t xml:space="preserve">PARTS </t>
  </si>
  <si>
    <t xml:space="preserve">TOTAL </t>
  </si>
  <si>
    <t>HL-9187</t>
  </si>
  <si>
    <t>CBJ-5841</t>
  </si>
  <si>
    <t>KP-5700</t>
  </si>
  <si>
    <t>CAJ-4061</t>
  </si>
  <si>
    <t>CAF-3552</t>
  </si>
  <si>
    <t>CAY-6189</t>
  </si>
  <si>
    <t>CBF-9172</t>
  </si>
  <si>
    <t>CAO-4888</t>
  </si>
  <si>
    <t>KV-7615</t>
  </si>
  <si>
    <t>KG-9723</t>
  </si>
  <si>
    <t>DAC-4294</t>
  </si>
  <si>
    <t>CAG-8289</t>
  </si>
  <si>
    <t>CAQ-3618</t>
  </si>
  <si>
    <t>CAY-4587</t>
  </si>
  <si>
    <t>KO-9042</t>
  </si>
  <si>
    <t>KE-3351</t>
  </si>
  <si>
    <t>CAF-3407</t>
  </si>
  <si>
    <t>CAH-1018</t>
  </si>
  <si>
    <t>HIJET</t>
  </si>
  <si>
    <t>MG</t>
  </si>
  <si>
    <t>LANCER</t>
  </si>
  <si>
    <t>AQUA</t>
  </si>
  <si>
    <t>GRACE</t>
  </si>
  <si>
    <t>STINGRAY</t>
  </si>
  <si>
    <t>AXIO</t>
  </si>
  <si>
    <t>AVANSA</t>
  </si>
  <si>
    <t>MAXIMO</t>
  </si>
  <si>
    <t>ALTO</t>
  </si>
  <si>
    <t>VEZEL</t>
  </si>
  <si>
    <t>MARCH</t>
  </si>
  <si>
    <t>CHEVERLOT</t>
  </si>
  <si>
    <t>PERSONAL</t>
  </si>
  <si>
    <t>ALLIANZ</t>
  </si>
  <si>
    <t>PEOPLES</t>
  </si>
  <si>
    <t>AMANA</t>
  </si>
  <si>
    <t>CEYLINCO</t>
  </si>
  <si>
    <t>LOLC</t>
  </si>
  <si>
    <t>CAN-7310</t>
  </si>
  <si>
    <t>CAV-8368</t>
  </si>
  <si>
    <t>WIGO</t>
  </si>
  <si>
    <t>CAH-6128</t>
  </si>
  <si>
    <t>CELERIO</t>
  </si>
  <si>
    <t>CAX-1870</t>
  </si>
  <si>
    <t>CIVIC</t>
  </si>
  <si>
    <t>CAR-8968</t>
  </si>
  <si>
    <t>PAID</t>
  </si>
  <si>
    <t xml:space="preserve">BALANCE </t>
  </si>
  <si>
    <t>KC-0097</t>
  </si>
  <si>
    <t>IST</t>
  </si>
  <si>
    <t>COOL TEC</t>
  </si>
  <si>
    <t>compressor pipe welding</t>
  </si>
  <si>
    <t>PY-3420</t>
  </si>
  <si>
    <t>CBJ-3897</t>
  </si>
  <si>
    <t>PEUGEOT</t>
  </si>
  <si>
    <t>CBK-5668</t>
  </si>
  <si>
    <t>NISSAN QA</t>
  </si>
  <si>
    <t>KX-0198</t>
  </si>
  <si>
    <t>FIT</t>
  </si>
  <si>
    <t>CAS-0729</t>
  </si>
  <si>
    <t>WAGON R</t>
  </si>
  <si>
    <t>GP5</t>
  </si>
  <si>
    <t>SLIC</t>
  </si>
  <si>
    <t>PX-6952</t>
  </si>
  <si>
    <t>TATA XENON</t>
  </si>
  <si>
    <t>FIT GP 5</t>
  </si>
  <si>
    <t>KW-6569</t>
  </si>
  <si>
    <t>ALTO K10</t>
  </si>
  <si>
    <t>CBH-5881</t>
  </si>
  <si>
    <t>VITZ</t>
  </si>
  <si>
    <t>KY-5318</t>
  </si>
  <si>
    <t>CAH-2753</t>
  </si>
  <si>
    <t>JOB CARD</t>
  </si>
  <si>
    <t>RECIVED</t>
  </si>
  <si>
    <t>CBA-7883</t>
  </si>
  <si>
    <t>ALTO JAPAN</t>
  </si>
  <si>
    <t xml:space="preserve">FAIR FIRST </t>
  </si>
  <si>
    <t>CBF-7832</t>
  </si>
  <si>
    <t>HH-2727</t>
  </si>
  <si>
    <t>REGUES</t>
  </si>
  <si>
    <t>CAM-2726</t>
  </si>
  <si>
    <t>HNB</t>
  </si>
  <si>
    <t>KY-2833</t>
  </si>
  <si>
    <t>NANO CAR</t>
  </si>
  <si>
    <t>CAT-1711</t>
  </si>
  <si>
    <t>CAQ-0429</t>
  </si>
  <si>
    <t>CAU-5759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</si>
</sst>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0" fillId="2" borderId="0" xfId="0" applyFill="1"/>
    <xf numFmtId="0" fontId="6" fillId="0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topLeftCell="A10" workbookViewId="0">
      <selection activeCell="G39" sqref="G39"/>
    </sheetView>
  </sheetViews>
  <sheetFormatPr defaultRowHeight="15" x14ac:dyDescent="0.25"/>
  <sheetData>
    <row r="1" spans="1:17" x14ac:dyDescent="0.25">
      <c r="A1" s="2" t="s">
        <v>0</v>
      </c>
      <c r="C1" s="2" t="s">
        <v>1</v>
      </c>
      <c r="E1" s="2" t="s">
        <v>2</v>
      </c>
      <c r="H1" s="2" t="s">
        <v>3</v>
      </c>
      <c r="J1" s="2" t="s">
        <v>4</v>
      </c>
      <c r="L1" s="2" t="s">
        <v>5</v>
      </c>
      <c r="N1" s="2" t="s">
        <v>51</v>
      </c>
      <c r="O1" s="2" t="s">
        <v>52</v>
      </c>
      <c r="Q1" s="2" t="s">
        <v>77</v>
      </c>
    </row>
    <row r="2" spans="1:17" s="5" customFormat="1" x14ac:dyDescent="0.25">
      <c r="A2" s="4" t="s">
        <v>6</v>
      </c>
      <c r="B2" s="10"/>
      <c r="C2" s="4" t="s">
        <v>24</v>
      </c>
      <c r="D2" s="4"/>
      <c r="E2" s="4" t="s">
        <v>37</v>
      </c>
      <c r="H2" s="4">
        <v>30000</v>
      </c>
      <c r="J2" s="4"/>
      <c r="L2" s="5">
        <v>30000</v>
      </c>
      <c r="N2" s="5">
        <v>30000</v>
      </c>
      <c r="Q2" s="5" t="s">
        <v>78</v>
      </c>
    </row>
    <row r="3" spans="1:17" s="5" customFormat="1" x14ac:dyDescent="0.25">
      <c r="A3" s="4" t="s">
        <v>7</v>
      </c>
      <c r="B3" s="10"/>
      <c r="C3" s="4" t="s">
        <v>25</v>
      </c>
      <c r="D3" s="4"/>
      <c r="E3" s="4" t="s">
        <v>38</v>
      </c>
      <c r="H3" s="4">
        <v>14000</v>
      </c>
      <c r="J3" s="4">
        <v>7500</v>
      </c>
      <c r="L3" s="5">
        <f>SUM(H3:K3)</f>
        <v>21500</v>
      </c>
      <c r="N3" s="5">
        <v>21500</v>
      </c>
      <c r="Q3" s="5" t="s">
        <v>78</v>
      </c>
    </row>
    <row r="4" spans="1:17" s="5" customFormat="1" x14ac:dyDescent="0.25">
      <c r="A4" s="4" t="s">
        <v>8</v>
      </c>
      <c r="B4" s="10"/>
      <c r="C4" s="4" t="s">
        <v>26</v>
      </c>
      <c r="D4" s="4"/>
      <c r="E4" s="4" t="s">
        <v>37</v>
      </c>
      <c r="H4" s="4">
        <v>5000</v>
      </c>
      <c r="J4" s="4"/>
      <c r="L4" s="5">
        <v>5000</v>
      </c>
      <c r="N4" s="5">
        <v>5000</v>
      </c>
      <c r="Q4" s="5" t="s">
        <v>78</v>
      </c>
    </row>
    <row r="5" spans="1:17" s="5" customFormat="1" x14ac:dyDescent="0.25">
      <c r="A5" s="4" t="s">
        <v>9</v>
      </c>
      <c r="B5" s="10"/>
      <c r="C5" s="4" t="s">
        <v>27</v>
      </c>
      <c r="D5" s="4"/>
      <c r="E5" s="4" t="s">
        <v>39</v>
      </c>
      <c r="H5" s="4">
        <v>79750</v>
      </c>
      <c r="J5" s="4">
        <v>15200</v>
      </c>
      <c r="L5" s="5">
        <v>94950</v>
      </c>
      <c r="N5" s="5">
        <v>94950</v>
      </c>
      <c r="O5" s="7"/>
      <c r="Q5" s="5" t="s">
        <v>78</v>
      </c>
    </row>
    <row r="6" spans="1:17" s="5" customFormat="1" x14ac:dyDescent="0.25">
      <c r="A6" s="4" t="s">
        <v>10</v>
      </c>
      <c r="C6" s="4" t="s">
        <v>28</v>
      </c>
      <c r="E6" s="4" t="s">
        <v>40</v>
      </c>
      <c r="H6" s="4">
        <v>29200</v>
      </c>
      <c r="J6" s="4"/>
      <c r="L6" s="5">
        <v>29200</v>
      </c>
      <c r="N6" s="5">
        <v>29200</v>
      </c>
    </row>
    <row r="7" spans="1:17" s="5" customFormat="1" x14ac:dyDescent="0.25">
      <c r="A7" s="4" t="s">
        <v>11</v>
      </c>
      <c r="B7" s="10"/>
      <c r="C7" s="4" t="s">
        <v>29</v>
      </c>
      <c r="D7" s="4"/>
      <c r="E7" s="4" t="s">
        <v>37</v>
      </c>
      <c r="H7" s="4">
        <v>10000</v>
      </c>
      <c r="J7" s="4"/>
      <c r="L7" s="5">
        <v>10000</v>
      </c>
      <c r="N7" s="5">
        <v>10000</v>
      </c>
      <c r="Q7" s="5" t="s">
        <v>78</v>
      </c>
    </row>
    <row r="8" spans="1:17" s="5" customFormat="1" x14ac:dyDescent="0.25">
      <c r="A8" s="4" t="s">
        <v>11</v>
      </c>
      <c r="B8" s="10"/>
      <c r="C8" s="4" t="s">
        <v>29</v>
      </c>
      <c r="E8" s="4" t="s">
        <v>41</v>
      </c>
      <c r="H8" s="4">
        <v>15000</v>
      </c>
      <c r="J8" s="4"/>
      <c r="L8" s="5">
        <v>15000</v>
      </c>
      <c r="N8" s="5">
        <v>15000</v>
      </c>
    </row>
    <row r="9" spans="1:17" s="5" customFormat="1" x14ac:dyDescent="0.25">
      <c r="A9" s="4" t="s">
        <v>12</v>
      </c>
      <c r="B9" s="10"/>
      <c r="C9" s="4" t="s">
        <v>29</v>
      </c>
      <c r="D9" s="4"/>
      <c r="E9" s="4" t="s">
        <v>38</v>
      </c>
      <c r="H9" s="4">
        <v>130250</v>
      </c>
      <c r="J9" s="4">
        <v>515750</v>
      </c>
      <c r="L9" s="5">
        <f>SUM(H9:K9)</f>
        <v>646000</v>
      </c>
      <c r="N9" s="5">
        <v>646000</v>
      </c>
      <c r="Q9" s="5" t="s">
        <v>78</v>
      </c>
    </row>
    <row r="10" spans="1:17" s="5" customFormat="1" x14ac:dyDescent="0.25">
      <c r="A10" s="4" t="s">
        <v>13</v>
      </c>
      <c r="C10" s="4" t="s">
        <v>29</v>
      </c>
      <c r="E10" s="4" t="s">
        <v>42</v>
      </c>
      <c r="H10" s="4">
        <v>15400</v>
      </c>
      <c r="J10" s="4">
        <v>101100</v>
      </c>
      <c r="L10" s="5">
        <f>SUM(H10:K10)</f>
        <v>116500</v>
      </c>
      <c r="N10" s="5">
        <v>115800</v>
      </c>
      <c r="O10" s="7"/>
    </row>
    <row r="11" spans="1:17" s="5" customFormat="1" x14ac:dyDescent="0.25">
      <c r="A11" s="4" t="s">
        <v>13</v>
      </c>
      <c r="C11" s="4" t="s">
        <v>29</v>
      </c>
      <c r="E11" s="4" t="s">
        <v>42</v>
      </c>
      <c r="H11" s="4">
        <v>33500</v>
      </c>
      <c r="J11" s="4">
        <v>201800</v>
      </c>
      <c r="L11" s="5">
        <f>SUM(H11:K11)</f>
        <v>235300</v>
      </c>
      <c r="N11" s="5">
        <v>235300</v>
      </c>
    </row>
    <row r="12" spans="1:17" s="5" customFormat="1" x14ac:dyDescent="0.25">
      <c r="A12" s="4" t="s">
        <v>14</v>
      </c>
      <c r="B12" s="10"/>
      <c r="C12" s="4" t="s">
        <v>30</v>
      </c>
      <c r="D12" s="4"/>
      <c r="E12" s="4" t="s">
        <v>41</v>
      </c>
      <c r="H12" s="4">
        <v>15500</v>
      </c>
      <c r="J12" s="4">
        <v>168500</v>
      </c>
      <c r="L12" s="5">
        <f>SUM(H12:K12)</f>
        <v>184000</v>
      </c>
      <c r="N12" s="5">
        <v>184000</v>
      </c>
      <c r="Q12" s="5" t="s">
        <v>78</v>
      </c>
    </row>
    <row r="13" spans="1:17" s="5" customFormat="1" x14ac:dyDescent="0.25">
      <c r="A13" s="4" t="s">
        <v>8</v>
      </c>
      <c r="B13" s="10"/>
      <c r="C13" s="4" t="s">
        <v>26</v>
      </c>
      <c r="E13" s="4" t="s">
        <v>41</v>
      </c>
      <c r="H13" s="4">
        <v>44000</v>
      </c>
      <c r="J13" s="4">
        <v>400</v>
      </c>
      <c r="L13" s="5">
        <f>SUM(H13:K13)</f>
        <v>44400</v>
      </c>
      <c r="N13" s="5">
        <v>44000</v>
      </c>
    </row>
    <row r="14" spans="1:17" s="5" customFormat="1" x14ac:dyDescent="0.25">
      <c r="A14" s="4" t="s">
        <v>15</v>
      </c>
      <c r="B14" s="10"/>
      <c r="C14" s="4" t="s">
        <v>31</v>
      </c>
      <c r="E14" s="4" t="s">
        <v>37</v>
      </c>
      <c r="H14" s="4">
        <v>28500</v>
      </c>
      <c r="J14" s="4"/>
      <c r="L14" s="5">
        <v>28500</v>
      </c>
      <c r="N14" s="5">
        <v>28500</v>
      </c>
    </row>
    <row r="15" spans="1:17" s="5" customFormat="1" x14ac:dyDescent="0.25">
      <c r="A15" s="4" t="s">
        <v>16</v>
      </c>
      <c r="C15" s="4" t="s">
        <v>32</v>
      </c>
      <c r="E15" s="4" t="s">
        <v>37</v>
      </c>
      <c r="H15" s="4">
        <v>4000</v>
      </c>
      <c r="J15" s="4"/>
      <c r="L15" s="5">
        <v>4000</v>
      </c>
      <c r="N15" s="5">
        <v>4000</v>
      </c>
    </row>
    <row r="16" spans="1:17" s="5" customFormat="1" x14ac:dyDescent="0.25">
      <c r="A16" s="4" t="s">
        <v>17</v>
      </c>
      <c r="C16" s="4" t="s">
        <v>33</v>
      </c>
      <c r="E16" s="4" t="s">
        <v>37</v>
      </c>
      <c r="H16" s="4">
        <v>3000</v>
      </c>
      <c r="J16" s="4"/>
      <c r="L16" s="5">
        <v>3000</v>
      </c>
      <c r="N16" s="5">
        <v>3000</v>
      </c>
    </row>
    <row r="17" spans="1:17" s="5" customFormat="1" x14ac:dyDescent="0.25">
      <c r="A17" s="4" t="s">
        <v>18</v>
      </c>
      <c r="C17" s="4" t="s">
        <v>29</v>
      </c>
      <c r="E17" s="4" t="s">
        <v>41</v>
      </c>
      <c r="H17" s="4">
        <v>18500</v>
      </c>
      <c r="J17" s="4">
        <v>2000</v>
      </c>
      <c r="L17" s="5">
        <v>20500</v>
      </c>
      <c r="N17" s="5">
        <v>20500</v>
      </c>
    </row>
    <row r="18" spans="1:17" s="5" customFormat="1" x14ac:dyDescent="0.25">
      <c r="A18" s="4" t="s">
        <v>19</v>
      </c>
      <c r="C18" s="4" t="s">
        <v>34</v>
      </c>
      <c r="E18" s="4" t="s">
        <v>37</v>
      </c>
      <c r="H18" s="4">
        <v>36000</v>
      </c>
      <c r="J18" s="4">
        <v>13000</v>
      </c>
      <c r="L18" s="5">
        <f>SUM(H18:K18)</f>
        <v>49000</v>
      </c>
      <c r="N18" s="5">
        <v>49000</v>
      </c>
    </row>
    <row r="19" spans="1:17" s="5" customFormat="1" x14ac:dyDescent="0.25">
      <c r="A19" s="4" t="s">
        <v>20</v>
      </c>
      <c r="C19" s="4" t="s">
        <v>35</v>
      </c>
      <c r="E19" s="4" t="s">
        <v>37</v>
      </c>
      <c r="H19" s="4">
        <v>6500</v>
      </c>
      <c r="L19" s="5">
        <v>6500</v>
      </c>
      <c r="N19" s="5">
        <v>6500</v>
      </c>
    </row>
    <row r="20" spans="1:17" s="5" customFormat="1" x14ac:dyDescent="0.25">
      <c r="A20" s="4" t="s">
        <v>21</v>
      </c>
      <c r="B20" s="10"/>
      <c r="C20" s="4" t="s">
        <v>36</v>
      </c>
      <c r="D20" s="4"/>
      <c r="E20" s="4" t="s">
        <v>37</v>
      </c>
      <c r="H20" s="4">
        <v>93000</v>
      </c>
      <c r="L20" s="5">
        <v>93000</v>
      </c>
      <c r="Q20" s="5" t="s">
        <v>78</v>
      </c>
    </row>
    <row r="21" spans="1:17" s="8" customFormat="1" x14ac:dyDescent="0.25">
      <c r="A21" s="12" t="s">
        <v>22</v>
      </c>
      <c r="B21" s="13"/>
      <c r="C21" s="12" t="s">
        <v>34</v>
      </c>
      <c r="D21" s="12"/>
      <c r="E21" s="12" t="s">
        <v>37</v>
      </c>
      <c r="Q21" s="8" t="s">
        <v>78</v>
      </c>
    </row>
    <row r="22" spans="1:17" s="5" customFormat="1" x14ac:dyDescent="0.25">
      <c r="A22" s="4" t="s">
        <v>23</v>
      </c>
      <c r="B22" s="10"/>
      <c r="C22" s="4" t="s">
        <v>66</v>
      </c>
      <c r="E22" s="4" t="s">
        <v>67</v>
      </c>
      <c r="H22" s="4">
        <v>67100</v>
      </c>
      <c r="J22" s="5">
        <v>200450</v>
      </c>
      <c r="L22" s="5">
        <f>SUM(H22:K22)</f>
        <v>267550</v>
      </c>
      <c r="N22" s="5">
        <v>267550</v>
      </c>
    </row>
    <row r="23" spans="1:17" s="5" customFormat="1" x14ac:dyDescent="0.25">
      <c r="A23" s="4" t="s">
        <v>43</v>
      </c>
      <c r="B23" s="10"/>
      <c r="C23" s="5" t="s">
        <v>33</v>
      </c>
      <c r="D23" s="4"/>
      <c r="E23" s="5" t="s">
        <v>37</v>
      </c>
      <c r="H23" s="5">
        <v>40000</v>
      </c>
      <c r="J23" s="5">
        <v>4000</v>
      </c>
      <c r="L23" s="5">
        <f t="shared" ref="L23:L30" si="0">SUM(H23:K23)</f>
        <v>44000</v>
      </c>
      <c r="N23" s="5">
        <v>44000</v>
      </c>
      <c r="Q23" s="5" t="s">
        <v>78</v>
      </c>
    </row>
    <row r="24" spans="1:17" x14ac:dyDescent="0.25">
      <c r="A24" s="4" t="s">
        <v>44</v>
      </c>
      <c r="B24" s="11"/>
      <c r="C24" s="5" t="s">
        <v>45</v>
      </c>
      <c r="D24" s="3"/>
      <c r="E24" s="5" t="s">
        <v>37</v>
      </c>
      <c r="H24" s="5">
        <v>700</v>
      </c>
      <c r="L24" s="5">
        <f t="shared" si="0"/>
        <v>700</v>
      </c>
      <c r="N24" s="5">
        <v>700</v>
      </c>
      <c r="Q24" t="s">
        <v>78</v>
      </c>
    </row>
    <row r="25" spans="1:17" s="5" customFormat="1" x14ac:dyDescent="0.25">
      <c r="A25" s="4" t="s">
        <v>46</v>
      </c>
      <c r="B25" s="10"/>
      <c r="C25" s="5" t="s">
        <v>47</v>
      </c>
      <c r="D25" s="4"/>
      <c r="E25" s="5" t="s">
        <v>41</v>
      </c>
      <c r="H25" s="5">
        <v>17000</v>
      </c>
      <c r="L25" s="5">
        <f t="shared" si="0"/>
        <v>17000</v>
      </c>
      <c r="N25" s="5">
        <v>17000</v>
      </c>
      <c r="Q25" s="5" t="s">
        <v>78</v>
      </c>
    </row>
    <row r="26" spans="1:17" s="5" customFormat="1" x14ac:dyDescent="0.25">
      <c r="A26" s="4" t="s">
        <v>48</v>
      </c>
      <c r="B26" s="10"/>
      <c r="C26" s="5" t="s">
        <v>49</v>
      </c>
      <c r="D26" s="4"/>
      <c r="E26" s="5" t="s">
        <v>37</v>
      </c>
      <c r="H26" s="5">
        <v>185000</v>
      </c>
      <c r="L26" s="5">
        <f t="shared" si="0"/>
        <v>185000</v>
      </c>
      <c r="N26" s="6">
        <v>100000</v>
      </c>
      <c r="O26" s="7">
        <v>85000</v>
      </c>
      <c r="Q26" s="5" t="s">
        <v>78</v>
      </c>
    </row>
    <row r="27" spans="1:17" x14ac:dyDescent="0.25">
      <c r="A27" s="3" t="s">
        <v>50</v>
      </c>
      <c r="B27" s="11"/>
      <c r="C27" t="s">
        <v>47</v>
      </c>
      <c r="D27" s="3"/>
      <c r="E27" t="s">
        <v>41</v>
      </c>
      <c r="H27">
        <v>21000</v>
      </c>
      <c r="L27">
        <f t="shared" si="0"/>
        <v>21000</v>
      </c>
      <c r="N27" s="6">
        <v>10000</v>
      </c>
      <c r="O27" s="7">
        <v>11000</v>
      </c>
      <c r="Q27" s="9" t="s">
        <v>78</v>
      </c>
    </row>
    <row r="28" spans="1:17" s="5" customFormat="1" x14ac:dyDescent="0.25">
      <c r="A28" s="4" t="s">
        <v>53</v>
      </c>
      <c r="B28" s="10"/>
      <c r="C28" s="5" t="s">
        <v>54</v>
      </c>
      <c r="E28" s="5" t="s">
        <v>41</v>
      </c>
      <c r="H28" s="5">
        <v>24000</v>
      </c>
      <c r="L28" s="5">
        <f t="shared" si="0"/>
        <v>24000</v>
      </c>
      <c r="N28" s="5">
        <v>24000</v>
      </c>
    </row>
    <row r="29" spans="1:17" x14ac:dyDescent="0.25">
      <c r="A29" s="3" t="s">
        <v>55</v>
      </c>
      <c r="C29" t="s">
        <v>56</v>
      </c>
      <c r="H29" s="1">
        <v>1500</v>
      </c>
      <c r="J29" s="1"/>
      <c r="L29" s="1">
        <f t="shared" si="0"/>
        <v>1500</v>
      </c>
      <c r="N29" s="1"/>
    </row>
    <row r="30" spans="1:17" s="5" customFormat="1" x14ac:dyDescent="0.25">
      <c r="A30" s="4" t="s">
        <v>57</v>
      </c>
      <c r="C30" s="5" t="s">
        <v>32</v>
      </c>
      <c r="E30" s="5" t="s">
        <v>37</v>
      </c>
      <c r="H30" s="5">
        <v>7500</v>
      </c>
      <c r="J30" s="5">
        <v>16860</v>
      </c>
      <c r="L30" s="5">
        <f t="shared" si="0"/>
        <v>24360</v>
      </c>
      <c r="N30" s="5">
        <v>24360</v>
      </c>
    </row>
    <row r="31" spans="1:17" x14ac:dyDescent="0.25">
      <c r="A31" s="4" t="s">
        <v>58</v>
      </c>
      <c r="C31" s="5" t="s">
        <v>59</v>
      </c>
      <c r="E31" s="5" t="s">
        <v>37</v>
      </c>
      <c r="H31" s="5">
        <v>3500</v>
      </c>
      <c r="J31" s="5">
        <v>7475</v>
      </c>
      <c r="L31" s="5">
        <v>10975</v>
      </c>
      <c r="N31" s="6">
        <v>8000</v>
      </c>
      <c r="O31" s="8">
        <v>2975</v>
      </c>
    </row>
    <row r="32" spans="1:17" x14ac:dyDescent="0.25">
      <c r="A32" s="3" t="s">
        <v>60</v>
      </c>
      <c r="B32" s="11"/>
      <c r="C32" t="s">
        <v>61</v>
      </c>
      <c r="D32" s="3"/>
      <c r="E32" t="s">
        <v>41</v>
      </c>
      <c r="H32">
        <v>39500</v>
      </c>
      <c r="J32">
        <v>400</v>
      </c>
      <c r="L32">
        <f>SUM(H32:K32)</f>
        <v>39900</v>
      </c>
      <c r="Q32" s="9" t="s">
        <v>78</v>
      </c>
    </row>
    <row r="33" spans="1:17" s="5" customFormat="1" x14ac:dyDescent="0.25">
      <c r="A33" s="4" t="s">
        <v>62</v>
      </c>
      <c r="B33" s="10"/>
      <c r="C33" s="5" t="s">
        <v>63</v>
      </c>
      <c r="E33" s="5" t="s">
        <v>41</v>
      </c>
      <c r="H33" s="5">
        <v>67000</v>
      </c>
      <c r="J33" s="5">
        <v>76000</v>
      </c>
      <c r="L33" s="5">
        <f>SUM(H33:K33)</f>
        <v>143000</v>
      </c>
      <c r="N33" s="5">
        <v>142000</v>
      </c>
      <c r="O33" s="5">
        <v>1000</v>
      </c>
    </row>
    <row r="34" spans="1:17" x14ac:dyDescent="0.25">
      <c r="A34" s="3" t="s">
        <v>64</v>
      </c>
      <c r="B34" s="11"/>
      <c r="C34" t="s">
        <v>65</v>
      </c>
      <c r="E34" t="s">
        <v>37</v>
      </c>
      <c r="H34">
        <v>13800</v>
      </c>
      <c r="L34">
        <v>13800</v>
      </c>
    </row>
    <row r="35" spans="1:17" s="5" customFormat="1" x14ac:dyDescent="0.25">
      <c r="A35" s="4" t="s">
        <v>8</v>
      </c>
      <c r="B35" s="10"/>
      <c r="C35" s="5" t="s">
        <v>26</v>
      </c>
      <c r="D35" s="4"/>
      <c r="E35" s="5" t="s">
        <v>41</v>
      </c>
      <c r="H35" s="5">
        <v>44000</v>
      </c>
      <c r="J35" s="5">
        <v>400</v>
      </c>
      <c r="L35" s="5">
        <f>SUM(H35:K35)</f>
        <v>44400</v>
      </c>
      <c r="N35" s="5">
        <v>44400</v>
      </c>
      <c r="Q35" s="5" t="s">
        <v>78</v>
      </c>
    </row>
    <row r="36" spans="1:17" s="5" customFormat="1" x14ac:dyDescent="0.25">
      <c r="A36" s="4" t="s">
        <v>68</v>
      </c>
      <c r="C36" s="5" t="s">
        <v>69</v>
      </c>
      <c r="E36" s="5" t="s">
        <v>37</v>
      </c>
      <c r="H36" s="5">
        <v>1350</v>
      </c>
      <c r="J36" s="5">
        <v>2650</v>
      </c>
      <c r="L36" s="5">
        <v>4000</v>
      </c>
      <c r="N36" s="5">
        <v>4000</v>
      </c>
    </row>
    <row r="37" spans="1:17" s="5" customFormat="1" x14ac:dyDescent="0.25">
      <c r="A37" s="4" t="s">
        <v>23</v>
      </c>
      <c r="B37" s="10"/>
      <c r="C37" s="5" t="s">
        <v>70</v>
      </c>
      <c r="D37" s="4"/>
      <c r="E37" s="5" t="s">
        <v>37</v>
      </c>
      <c r="H37" s="5">
        <v>95000</v>
      </c>
      <c r="L37" s="5">
        <v>95000</v>
      </c>
      <c r="N37" s="5">
        <v>95000</v>
      </c>
      <c r="Q37" s="5" t="s">
        <v>78</v>
      </c>
    </row>
    <row r="38" spans="1:17" s="5" customFormat="1" x14ac:dyDescent="0.25">
      <c r="A38" s="4" t="s">
        <v>14</v>
      </c>
      <c r="C38" s="5" t="s">
        <v>30</v>
      </c>
      <c r="E38" s="5" t="s">
        <v>41</v>
      </c>
      <c r="H38" s="5">
        <v>3500</v>
      </c>
      <c r="J38" s="5">
        <v>25830</v>
      </c>
      <c r="L38" s="5">
        <f>SUM(H38:K38)</f>
        <v>29330</v>
      </c>
      <c r="N38" s="5">
        <v>29300</v>
      </c>
    </row>
    <row r="39" spans="1:17" x14ac:dyDescent="0.25">
      <c r="A39" s="3" t="s">
        <v>71</v>
      </c>
      <c r="C39" t="s">
        <v>72</v>
      </c>
      <c r="E39" t="s">
        <v>41</v>
      </c>
    </row>
    <row r="40" spans="1:17" s="5" customFormat="1" x14ac:dyDescent="0.25">
      <c r="A40" s="4" t="s">
        <v>73</v>
      </c>
      <c r="B40" s="10"/>
      <c r="C40" s="5" t="s">
        <v>74</v>
      </c>
      <c r="E40" s="5" t="s">
        <v>41</v>
      </c>
      <c r="H40" s="5">
        <v>40000</v>
      </c>
      <c r="N40" s="5">
        <v>40000</v>
      </c>
    </row>
    <row r="41" spans="1:17" x14ac:dyDescent="0.25">
      <c r="A41" s="3" t="s">
        <v>75</v>
      </c>
      <c r="C41" t="s">
        <v>72</v>
      </c>
      <c r="E41" t="s">
        <v>41</v>
      </c>
    </row>
    <row r="42" spans="1:17" x14ac:dyDescent="0.25">
      <c r="A42" s="3" t="s">
        <v>76</v>
      </c>
      <c r="B42" s="11"/>
      <c r="C42" t="s">
        <v>27</v>
      </c>
      <c r="E42" t="s">
        <v>37</v>
      </c>
    </row>
    <row r="43" spans="1:17" x14ac:dyDescent="0.25">
      <c r="A43" s="3" t="s">
        <v>79</v>
      </c>
      <c r="B43" s="11"/>
      <c r="C43" t="s">
        <v>80</v>
      </c>
      <c r="D43" s="3"/>
      <c r="E43" t="s">
        <v>81</v>
      </c>
      <c r="H43">
        <v>68000</v>
      </c>
      <c r="J43">
        <v>2150</v>
      </c>
      <c r="L43">
        <f>SUM(H43:K43)</f>
        <v>70150</v>
      </c>
      <c r="Q43" t="s">
        <v>78</v>
      </c>
    </row>
    <row r="44" spans="1:17" x14ac:dyDescent="0.25">
      <c r="A44" s="3" t="s">
        <v>82</v>
      </c>
      <c r="C44" t="s">
        <v>30</v>
      </c>
      <c r="E44" t="s">
        <v>41</v>
      </c>
    </row>
    <row r="45" spans="1:17" x14ac:dyDescent="0.25">
      <c r="A45" s="3" t="s">
        <v>83</v>
      </c>
      <c r="C45" t="s">
        <v>84</v>
      </c>
      <c r="E45" t="s">
        <v>37</v>
      </c>
      <c r="H45">
        <v>1500</v>
      </c>
      <c r="L45">
        <v>1500</v>
      </c>
    </row>
    <row r="46" spans="1:17" s="5" customFormat="1" x14ac:dyDescent="0.25">
      <c r="A46" s="4" t="s">
        <v>85</v>
      </c>
      <c r="C46" s="5" t="s">
        <v>33</v>
      </c>
      <c r="E46" s="5" t="s">
        <v>86</v>
      </c>
      <c r="H46" s="5">
        <v>20000</v>
      </c>
      <c r="L46" s="5">
        <v>20000</v>
      </c>
      <c r="N46" s="5">
        <v>20000</v>
      </c>
    </row>
    <row r="47" spans="1:17" s="5" customFormat="1" x14ac:dyDescent="0.25">
      <c r="A47" s="4" t="s">
        <v>87</v>
      </c>
      <c r="C47" s="5" t="s">
        <v>88</v>
      </c>
      <c r="E47" s="5" t="s">
        <v>67</v>
      </c>
      <c r="H47" s="5">
        <v>32250</v>
      </c>
      <c r="J47" s="5">
        <v>67400</v>
      </c>
      <c r="L47" s="5">
        <v>99650</v>
      </c>
      <c r="N47" s="5">
        <v>67750</v>
      </c>
    </row>
    <row r="48" spans="1:17" s="5" customFormat="1" x14ac:dyDescent="0.25">
      <c r="A48" s="4" t="s">
        <v>89</v>
      </c>
      <c r="C48" s="5" t="s">
        <v>65</v>
      </c>
      <c r="E48" s="5" t="s">
        <v>67</v>
      </c>
      <c r="H48" s="5">
        <v>81500</v>
      </c>
      <c r="J48" s="5">
        <v>25000</v>
      </c>
      <c r="L48" s="5">
        <v>106500</v>
      </c>
      <c r="N48" s="5">
        <v>106500</v>
      </c>
    </row>
    <row r="49" spans="1:14" s="5" customFormat="1" x14ac:dyDescent="0.25">
      <c r="A49" s="4" t="s">
        <v>90</v>
      </c>
      <c r="C49" s="5" t="s">
        <v>33</v>
      </c>
      <c r="E49" s="5" t="s">
        <v>37</v>
      </c>
      <c r="H49" s="5">
        <v>2000</v>
      </c>
      <c r="L49" s="5">
        <v>2000</v>
      </c>
      <c r="N49" s="5">
        <v>2000</v>
      </c>
    </row>
    <row r="50" spans="1:14" s="5" customFormat="1" x14ac:dyDescent="0.25">
      <c r="A50" s="4" t="s">
        <v>91</v>
      </c>
      <c r="B50" s="10"/>
      <c r="C50" s="5" t="s">
        <v>65</v>
      </c>
      <c r="E50" s="5" t="s">
        <v>38</v>
      </c>
    </row>
    <row r="65" spans="8:15" x14ac:dyDescent="0.25">
      <c r="H65">
        <f>SUM(H2:H64)</f>
        <v>1487800</v>
      </c>
      <c r="J65">
        <f>SUM(J2:J64)</f>
        <v>1453865</v>
      </c>
      <c r="L65">
        <f>SUM(L2:L64)</f>
        <v>2901665</v>
      </c>
      <c r="N65">
        <f>SUM(N2:N64)</f>
        <v>2588810</v>
      </c>
      <c r="O65">
        <f>SUM(O2:O64)</f>
        <v>99975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2023-11-28T11:46:08Z</dcterms:modified>
</cp:coreProperties>
</file>