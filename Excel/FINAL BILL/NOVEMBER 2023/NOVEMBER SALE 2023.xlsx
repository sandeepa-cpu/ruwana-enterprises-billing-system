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85" windowWidth="14805" windowHeight="78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57" i="1" l="1"/>
  <c r="N57" i="1"/>
  <c r="L57" i="1" l="1"/>
  <c r="L26" i="1" l="1"/>
</calcChain>
</file>

<file path=xl/sharedStrings.xml><?xml version="1.0" encoding="utf-8"?>
<sst xmlns="http://schemas.openxmlformats.org/spreadsheetml/2006/main" count="148" uniqueCount="77">
  <si>
    <t xml:space="preserve">V.NUMBER </t>
  </si>
  <si>
    <t>MODEL</t>
  </si>
  <si>
    <t>INSURANCE</t>
  </si>
  <si>
    <t>LABOUR</t>
  </si>
  <si>
    <t xml:space="preserve">PARTS </t>
  </si>
  <si>
    <t xml:space="preserve">TOTAL </t>
  </si>
  <si>
    <t>PERSONAL</t>
  </si>
  <si>
    <t>PAID</t>
  </si>
  <si>
    <t xml:space="preserve">BALANCE </t>
  </si>
  <si>
    <t>JOB CARD</t>
  </si>
  <si>
    <t>252-9991</t>
  </si>
  <si>
    <t>TOWNACE</t>
  </si>
  <si>
    <t>advance</t>
  </si>
  <si>
    <t>AXIO</t>
  </si>
  <si>
    <t>KO-7131</t>
  </si>
  <si>
    <t>ND-7156</t>
  </si>
  <si>
    <t>PAIND</t>
  </si>
  <si>
    <t>CBB-5579</t>
  </si>
  <si>
    <t>VITZ</t>
  </si>
  <si>
    <t>CAV-5779</t>
  </si>
  <si>
    <t xml:space="preserve">WAGON R </t>
  </si>
  <si>
    <t>ALLIANZ</t>
  </si>
  <si>
    <t>CEYLINCO</t>
  </si>
  <si>
    <t>CBH-5881</t>
  </si>
  <si>
    <t>CAV-3917</t>
  </si>
  <si>
    <t>AQUA</t>
  </si>
  <si>
    <t>KV-2310</t>
  </si>
  <si>
    <t>GP1</t>
  </si>
  <si>
    <t>CAM-4587</t>
  </si>
  <si>
    <t>VEZEL</t>
  </si>
  <si>
    <t>CAO-6161</t>
  </si>
  <si>
    <t>GRACE</t>
  </si>
  <si>
    <t>JK-0336</t>
  </si>
  <si>
    <t>AD WAGON</t>
  </si>
  <si>
    <t>BUS</t>
  </si>
  <si>
    <t>ORIENT</t>
  </si>
  <si>
    <t>CAC-0426</t>
  </si>
  <si>
    <t>CAU-7217</t>
  </si>
  <si>
    <t>CAZ-0103</t>
  </si>
  <si>
    <t>SWIFT</t>
  </si>
  <si>
    <t>CAG-9680</t>
  </si>
  <si>
    <t>CELERIO</t>
  </si>
  <si>
    <t>COOL TEC</t>
  </si>
  <si>
    <t>CIVIC FULL PAINT</t>
  </si>
  <si>
    <t>KG-9553</t>
  </si>
  <si>
    <t>ALTO</t>
  </si>
  <si>
    <t>PX-5834</t>
  </si>
  <si>
    <t>BOLERO</t>
  </si>
  <si>
    <t>KW-6569</t>
  </si>
  <si>
    <t>ALTO K10</t>
  </si>
  <si>
    <t>KR-0307</t>
  </si>
  <si>
    <t>KY-5318</t>
  </si>
  <si>
    <t>KM-1032</t>
  </si>
  <si>
    <t xml:space="preserve">SWIFT </t>
  </si>
  <si>
    <t>CBF-7872</t>
  </si>
  <si>
    <t>CAV-7101</t>
  </si>
  <si>
    <t>DUTSUN</t>
  </si>
  <si>
    <t>CAT-5738</t>
  </si>
  <si>
    <t>LOLC</t>
  </si>
  <si>
    <t>CBK-8291</t>
  </si>
  <si>
    <t>QASHQAI</t>
  </si>
  <si>
    <t>PI-7955</t>
  </si>
  <si>
    <t>EVERY</t>
  </si>
  <si>
    <t>MAC</t>
  </si>
  <si>
    <t>OLD</t>
  </si>
  <si>
    <t>CAS-0729</t>
  </si>
  <si>
    <t xml:space="preserve">Engine oil </t>
  </si>
  <si>
    <t>change</t>
  </si>
  <si>
    <t>CAP-2386</t>
  </si>
  <si>
    <t xml:space="preserve">PICANTO </t>
  </si>
  <si>
    <t>JW-2626</t>
  </si>
  <si>
    <t>KIA</t>
  </si>
  <si>
    <t>CAI-7349</t>
  </si>
  <si>
    <t>KU-1189</t>
  </si>
  <si>
    <t>PREMIO</t>
  </si>
  <si>
    <t>CAY-4407</t>
  </si>
  <si>
    <t>STINGRAY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</si>
</sst>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0" borderId="0" xfId="0" applyFont="1"/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tabSelected="1" topLeftCell="A13" workbookViewId="0">
      <selection activeCell="R27" sqref="R27"/>
    </sheetView>
  </sheetViews>
  <sheetFormatPr defaultRowHeight="15" x14ac:dyDescent="0.25"/>
  <sheetData>
    <row r="1" spans="1:17" x14ac:dyDescent="0.25">
      <c r="A1" s="1" t="s">
        <v>0</v>
      </c>
      <c r="C1" s="1" t="s">
        <v>1</v>
      </c>
      <c r="E1" s="1" t="s">
        <v>2</v>
      </c>
      <c r="H1" s="1" t="s">
        <v>3</v>
      </c>
      <c r="J1" s="1" t="s">
        <v>4</v>
      </c>
      <c r="L1" s="1" t="s">
        <v>5</v>
      </c>
      <c r="N1" s="1" t="s">
        <v>7</v>
      </c>
      <c r="O1" s="1" t="s">
        <v>8</v>
      </c>
      <c r="Q1" s="1" t="s">
        <v>9</v>
      </c>
    </row>
    <row r="2" spans="1:17" x14ac:dyDescent="0.25">
      <c r="A2" t="s">
        <v>10</v>
      </c>
      <c r="B2" s="6"/>
      <c r="C2" t="s">
        <v>11</v>
      </c>
      <c r="E2" t="s">
        <v>6</v>
      </c>
      <c r="H2">
        <v>147000</v>
      </c>
      <c r="N2" s="2" t="s">
        <v>12</v>
      </c>
      <c r="O2" s="2" t="s">
        <v>16</v>
      </c>
    </row>
    <row r="3" spans="1:17" x14ac:dyDescent="0.25">
      <c r="N3" s="2">
        <v>50000</v>
      </c>
    </row>
    <row r="4" spans="1:17" s="3" customFormat="1" x14ac:dyDescent="0.25">
      <c r="A4" s="3" t="s">
        <v>14</v>
      </c>
      <c r="B4" s="2" t="s">
        <v>63</v>
      </c>
      <c r="C4" s="3" t="s">
        <v>13</v>
      </c>
      <c r="E4" s="3" t="s">
        <v>6</v>
      </c>
      <c r="H4" s="3">
        <v>2500</v>
      </c>
      <c r="L4" s="3">
        <v>2500</v>
      </c>
    </row>
    <row r="5" spans="1:17" s="3" customFormat="1" x14ac:dyDescent="0.25">
      <c r="B5" s="5"/>
    </row>
    <row r="6" spans="1:17" x14ac:dyDescent="0.25">
      <c r="N6" s="2"/>
      <c r="O6" s="2"/>
    </row>
    <row r="7" spans="1:17" s="3" customFormat="1" x14ac:dyDescent="0.25">
      <c r="A7" s="3" t="s">
        <v>17</v>
      </c>
      <c r="B7" s="2" t="s">
        <v>63</v>
      </c>
      <c r="C7" s="3" t="s">
        <v>18</v>
      </c>
      <c r="E7" s="3" t="s">
        <v>6</v>
      </c>
      <c r="H7" s="3">
        <v>1000</v>
      </c>
      <c r="L7" s="3">
        <v>1000</v>
      </c>
      <c r="N7" s="3">
        <v>1000</v>
      </c>
    </row>
    <row r="8" spans="1:17" s="3" customFormat="1" x14ac:dyDescent="0.25">
      <c r="A8" s="3" t="s">
        <v>19</v>
      </c>
      <c r="B8" s="5"/>
      <c r="C8" s="3" t="s">
        <v>20</v>
      </c>
      <c r="E8" s="3" t="s">
        <v>21</v>
      </c>
      <c r="H8" s="3">
        <v>20500</v>
      </c>
      <c r="L8" s="3">
        <v>20500</v>
      </c>
      <c r="N8" s="3">
        <v>20500</v>
      </c>
    </row>
    <row r="9" spans="1:17" s="3" customFormat="1" x14ac:dyDescent="0.25">
      <c r="A9" s="3" t="s">
        <v>23</v>
      </c>
      <c r="B9" s="5"/>
      <c r="C9" s="3" t="s">
        <v>18</v>
      </c>
      <c r="E9" s="3" t="s">
        <v>22</v>
      </c>
      <c r="H9" s="3">
        <v>20000</v>
      </c>
      <c r="L9" s="3">
        <v>20000</v>
      </c>
      <c r="N9" s="3">
        <v>20000</v>
      </c>
    </row>
    <row r="10" spans="1:17" s="3" customFormat="1" x14ac:dyDescent="0.25">
      <c r="A10" s="3" t="s">
        <v>23</v>
      </c>
      <c r="B10" s="5"/>
      <c r="C10" s="3" t="s">
        <v>18</v>
      </c>
      <c r="E10" s="3" t="s">
        <v>22</v>
      </c>
      <c r="H10" s="3">
        <v>10000</v>
      </c>
      <c r="L10" s="3">
        <v>10000</v>
      </c>
      <c r="N10" s="3">
        <v>10000</v>
      </c>
    </row>
    <row r="11" spans="1:17" s="3" customFormat="1" x14ac:dyDescent="0.25">
      <c r="A11" s="3" t="s">
        <v>23</v>
      </c>
      <c r="B11" s="5"/>
      <c r="C11" s="3" t="s">
        <v>18</v>
      </c>
      <c r="E11" s="3" t="s">
        <v>6</v>
      </c>
      <c r="H11" s="3">
        <v>10000</v>
      </c>
      <c r="L11" s="3">
        <v>10000</v>
      </c>
      <c r="N11" s="3">
        <v>10000</v>
      </c>
    </row>
    <row r="12" spans="1:17" s="3" customFormat="1" x14ac:dyDescent="0.25">
      <c r="A12" s="3" t="s">
        <v>24</v>
      </c>
      <c r="C12" s="3" t="s">
        <v>25</v>
      </c>
      <c r="E12" s="3" t="s">
        <v>6</v>
      </c>
      <c r="H12" s="3">
        <v>29000</v>
      </c>
      <c r="L12" s="3">
        <v>29000</v>
      </c>
      <c r="N12" s="3">
        <v>29000</v>
      </c>
    </row>
    <row r="13" spans="1:17" s="3" customFormat="1" x14ac:dyDescent="0.25">
      <c r="A13" s="3" t="s">
        <v>26</v>
      </c>
      <c r="B13" s="5"/>
      <c r="C13" s="3" t="s">
        <v>27</v>
      </c>
      <c r="E13" s="3" t="s">
        <v>22</v>
      </c>
      <c r="H13" s="3">
        <v>18000</v>
      </c>
      <c r="L13" s="3">
        <v>18000</v>
      </c>
      <c r="N13" s="3">
        <v>18000</v>
      </c>
    </row>
    <row r="14" spans="1:17" x14ac:dyDescent="0.25">
      <c r="A14" s="3" t="s">
        <v>28</v>
      </c>
      <c r="B14" s="2" t="s">
        <v>63</v>
      </c>
      <c r="C14" s="3" t="s">
        <v>29</v>
      </c>
      <c r="L14" s="3">
        <v>30250</v>
      </c>
      <c r="N14" s="3">
        <v>30250</v>
      </c>
    </row>
    <row r="15" spans="1:17" s="3" customFormat="1" x14ac:dyDescent="0.25">
      <c r="A15" s="3" t="s">
        <v>30</v>
      </c>
      <c r="B15" s="2" t="s">
        <v>63</v>
      </c>
      <c r="C15" s="3" t="s">
        <v>31</v>
      </c>
      <c r="E15" s="3" t="s">
        <v>6</v>
      </c>
      <c r="H15" s="3">
        <v>7500</v>
      </c>
      <c r="J15" s="3">
        <v>14000</v>
      </c>
      <c r="L15" s="3">
        <v>21500</v>
      </c>
      <c r="N15" s="3">
        <v>21500</v>
      </c>
    </row>
    <row r="16" spans="1:17" s="3" customFormat="1" x14ac:dyDescent="0.25">
      <c r="A16" s="3" t="s">
        <v>32</v>
      </c>
      <c r="B16" s="2" t="s">
        <v>63</v>
      </c>
      <c r="C16" s="3" t="s">
        <v>33</v>
      </c>
      <c r="E16" s="3" t="s">
        <v>6</v>
      </c>
      <c r="H16" s="3">
        <v>3800</v>
      </c>
      <c r="J16" s="3">
        <v>1200</v>
      </c>
      <c r="L16" s="3">
        <v>5000</v>
      </c>
      <c r="N16" s="3">
        <v>5000</v>
      </c>
    </row>
    <row r="17" spans="1:15" s="3" customFormat="1" x14ac:dyDescent="0.25">
      <c r="A17" s="3" t="s">
        <v>15</v>
      </c>
      <c r="B17" s="5"/>
      <c r="C17" s="3" t="s">
        <v>34</v>
      </c>
      <c r="E17" s="3" t="s">
        <v>35</v>
      </c>
      <c r="H17" s="3">
        <v>37500</v>
      </c>
      <c r="L17" s="3">
        <v>37500</v>
      </c>
      <c r="N17" s="3">
        <v>37500</v>
      </c>
    </row>
    <row r="18" spans="1:15" s="3" customFormat="1" x14ac:dyDescent="0.25">
      <c r="A18" s="3" t="s">
        <v>15</v>
      </c>
      <c r="B18" s="5"/>
      <c r="C18" s="3" t="s">
        <v>34</v>
      </c>
      <c r="E18" s="3" t="s">
        <v>6</v>
      </c>
      <c r="H18" s="3">
        <v>10000</v>
      </c>
      <c r="L18" s="3">
        <v>10000</v>
      </c>
      <c r="N18" s="3">
        <v>10000</v>
      </c>
    </row>
    <row r="19" spans="1:15" x14ac:dyDescent="0.25">
      <c r="A19" s="3" t="s">
        <v>36</v>
      </c>
      <c r="B19" s="6"/>
      <c r="C19" s="3" t="s">
        <v>13</v>
      </c>
      <c r="E19" s="3" t="s">
        <v>22</v>
      </c>
    </row>
    <row r="20" spans="1:15" s="4" customFormat="1" x14ac:dyDescent="0.25">
      <c r="A20" s="4" t="s">
        <v>37</v>
      </c>
      <c r="B20" s="7"/>
      <c r="C20" s="4" t="s">
        <v>13</v>
      </c>
      <c r="E20" s="4" t="s">
        <v>22</v>
      </c>
      <c r="H20" s="4">
        <v>31000</v>
      </c>
      <c r="J20" s="4">
        <v>1000</v>
      </c>
      <c r="L20" s="4">
        <v>32000</v>
      </c>
    </row>
    <row r="21" spans="1:15" s="4" customFormat="1" x14ac:dyDescent="0.25">
      <c r="A21" s="4" t="s">
        <v>38</v>
      </c>
      <c r="B21" s="7"/>
      <c r="C21" s="4" t="s">
        <v>39</v>
      </c>
      <c r="E21" s="4" t="s">
        <v>22</v>
      </c>
      <c r="H21" s="4">
        <v>46900</v>
      </c>
      <c r="J21" s="4">
        <v>95800</v>
      </c>
      <c r="L21" s="4">
        <v>142700</v>
      </c>
    </row>
    <row r="22" spans="1:15" s="4" customFormat="1" x14ac:dyDescent="0.25">
      <c r="A22" s="3" t="s">
        <v>40</v>
      </c>
      <c r="B22" s="7"/>
      <c r="C22" s="3" t="s">
        <v>41</v>
      </c>
      <c r="E22" s="3" t="s">
        <v>22</v>
      </c>
      <c r="L22" s="3">
        <v>154600</v>
      </c>
      <c r="N22" s="3">
        <v>130095</v>
      </c>
      <c r="O22" s="2">
        <v>24505</v>
      </c>
    </row>
    <row r="23" spans="1:15" x14ac:dyDescent="0.25">
      <c r="A23" s="4" t="s">
        <v>42</v>
      </c>
      <c r="B23" s="8" t="s">
        <v>64</v>
      </c>
      <c r="N23" s="3">
        <v>25400</v>
      </c>
    </row>
    <row r="24" spans="1:15" x14ac:dyDescent="0.25">
      <c r="A24" s="4" t="s">
        <v>43</v>
      </c>
      <c r="C24" s="8" t="s">
        <v>64</v>
      </c>
      <c r="N24" s="3">
        <v>50000</v>
      </c>
    </row>
    <row r="25" spans="1:15" s="3" customFormat="1" x14ac:dyDescent="0.25">
      <c r="A25" s="3" t="s">
        <v>44</v>
      </c>
      <c r="B25" s="2" t="s">
        <v>63</v>
      </c>
      <c r="C25" s="3" t="s">
        <v>45</v>
      </c>
      <c r="E25" s="3" t="s">
        <v>6</v>
      </c>
      <c r="H25" s="3">
        <v>2500</v>
      </c>
      <c r="L25" s="3">
        <v>2500</v>
      </c>
      <c r="N25" s="3">
        <v>2500</v>
      </c>
    </row>
    <row r="26" spans="1:15" s="3" customFormat="1" x14ac:dyDescent="0.25">
      <c r="A26" s="3" t="s">
        <v>46</v>
      </c>
      <c r="B26" s="3" t="s">
        <v>63</v>
      </c>
      <c r="C26" s="3" t="s">
        <v>47</v>
      </c>
      <c r="E26" s="3" t="s">
        <v>6</v>
      </c>
      <c r="H26" s="3">
        <v>3600</v>
      </c>
      <c r="J26" s="3">
        <v>19210</v>
      </c>
      <c r="L26" s="3">
        <f>SUM(H26:K26)</f>
        <v>22810</v>
      </c>
      <c r="N26" s="3">
        <v>22810</v>
      </c>
    </row>
    <row r="27" spans="1:15" x14ac:dyDescent="0.25">
      <c r="A27" s="4" t="s">
        <v>48</v>
      </c>
      <c r="B27" s="2" t="s">
        <v>63</v>
      </c>
      <c r="C27" t="s">
        <v>49</v>
      </c>
      <c r="E27" t="s">
        <v>22</v>
      </c>
      <c r="L27">
        <v>77770</v>
      </c>
    </row>
    <row r="28" spans="1:15" s="3" customFormat="1" x14ac:dyDescent="0.25">
      <c r="A28" s="3" t="s">
        <v>50</v>
      </c>
      <c r="B28" s="5"/>
      <c r="C28" s="3" t="s">
        <v>13</v>
      </c>
      <c r="E28" s="3" t="s">
        <v>22</v>
      </c>
      <c r="H28" s="3">
        <v>37500</v>
      </c>
      <c r="L28" s="3">
        <v>37500</v>
      </c>
    </row>
    <row r="29" spans="1:15" s="3" customFormat="1" x14ac:dyDescent="0.25">
      <c r="A29" s="3" t="s">
        <v>50</v>
      </c>
      <c r="B29" s="5"/>
      <c r="C29" s="3" t="s">
        <v>13</v>
      </c>
      <c r="E29" s="3" t="s">
        <v>22</v>
      </c>
      <c r="H29" s="3">
        <v>14000</v>
      </c>
      <c r="L29" s="3">
        <v>14000</v>
      </c>
    </row>
    <row r="30" spans="1:15" x14ac:dyDescent="0.25">
      <c r="A30" s="4" t="s">
        <v>51</v>
      </c>
      <c r="B30" s="2" t="s">
        <v>63</v>
      </c>
      <c r="C30" t="s">
        <v>49</v>
      </c>
      <c r="E30" t="s">
        <v>22</v>
      </c>
      <c r="L30">
        <v>65850</v>
      </c>
    </row>
    <row r="31" spans="1:15" x14ac:dyDescent="0.25">
      <c r="A31" s="4" t="s">
        <v>52</v>
      </c>
      <c r="B31" s="6"/>
      <c r="C31" t="s">
        <v>53</v>
      </c>
      <c r="E31" t="s">
        <v>21</v>
      </c>
      <c r="L31">
        <v>94750</v>
      </c>
    </row>
    <row r="32" spans="1:15" s="3" customFormat="1" x14ac:dyDescent="0.25">
      <c r="A32" s="3" t="s">
        <v>54</v>
      </c>
      <c r="B32" s="5"/>
      <c r="C32" s="3" t="s">
        <v>13</v>
      </c>
      <c r="E32" s="3" t="s">
        <v>22</v>
      </c>
      <c r="L32" s="3">
        <v>66250</v>
      </c>
    </row>
    <row r="33" spans="1:16" s="3" customFormat="1" x14ac:dyDescent="0.25">
      <c r="A33" s="3" t="s">
        <v>55</v>
      </c>
      <c r="B33" s="5"/>
      <c r="C33" s="3" t="s">
        <v>56</v>
      </c>
      <c r="E33" s="3" t="s">
        <v>6</v>
      </c>
      <c r="H33" s="3">
        <v>30000</v>
      </c>
      <c r="L33" s="3">
        <v>30000</v>
      </c>
      <c r="N33" s="3">
        <v>30000</v>
      </c>
    </row>
    <row r="34" spans="1:16" s="3" customFormat="1" x14ac:dyDescent="0.25">
      <c r="A34" s="3" t="s">
        <v>40</v>
      </c>
      <c r="B34" s="5"/>
      <c r="C34" s="3" t="s">
        <v>41</v>
      </c>
      <c r="E34" s="3" t="s">
        <v>6</v>
      </c>
      <c r="H34" s="3">
        <v>15000</v>
      </c>
      <c r="L34" s="3">
        <v>15000</v>
      </c>
      <c r="N34" s="3">
        <v>15000</v>
      </c>
    </row>
    <row r="35" spans="1:16" x14ac:dyDescent="0.25">
      <c r="A35" s="4" t="s">
        <v>57</v>
      </c>
      <c r="B35" s="6"/>
      <c r="C35" t="s">
        <v>29</v>
      </c>
      <c r="E35" t="s">
        <v>58</v>
      </c>
      <c r="H35">
        <v>73850</v>
      </c>
      <c r="L35">
        <v>73850</v>
      </c>
    </row>
    <row r="36" spans="1:16" x14ac:dyDescent="0.25">
      <c r="A36" s="4" t="s">
        <v>57</v>
      </c>
      <c r="B36" s="6"/>
      <c r="C36" t="s">
        <v>29</v>
      </c>
      <c r="E36" t="s">
        <v>6</v>
      </c>
      <c r="H36">
        <v>188000</v>
      </c>
      <c r="L36">
        <v>188000</v>
      </c>
      <c r="N36">
        <v>100000</v>
      </c>
    </row>
    <row r="37" spans="1:16" x14ac:dyDescent="0.25">
      <c r="A37" s="4" t="s">
        <v>59</v>
      </c>
      <c r="B37" s="6"/>
      <c r="C37" t="s">
        <v>60</v>
      </c>
      <c r="E37" t="s">
        <v>22</v>
      </c>
    </row>
    <row r="38" spans="1:16" s="3" customFormat="1" x14ac:dyDescent="0.25">
      <c r="A38" s="3" t="s">
        <v>61</v>
      </c>
      <c r="B38" s="5"/>
      <c r="C38" s="3" t="s">
        <v>62</v>
      </c>
      <c r="E38" s="3" t="s">
        <v>21</v>
      </c>
      <c r="L38" s="3">
        <v>105050</v>
      </c>
      <c r="N38" s="3">
        <v>105050</v>
      </c>
    </row>
    <row r="39" spans="1:16" x14ac:dyDescent="0.25">
      <c r="A39" s="4" t="s">
        <v>65</v>
      </c>
      <c r="C39" t="s">
        <v>20</v>
      </c>
      <c r="E39" t="s">
        <v>42</v>
      </c>
      <c r="H39">
        <v>1450</v>
      </c>
      <c r="L39">
        <v>1450</v>
      </c>
      <c r="O39" t="s">
        <v>66</v>
      </c>
      <c r="P39" t="s">
        <v>67</v>
      </c>
    </row>
    <row r="40" spans="1:16" s="3" customFormat="1" x14ac:dyDescent="0.25"/>
    <row r="41" spans="1:16" x14ac:dyDescent="0.25">
      <c r="A41" s="4" t="s">
        <v>68</v>
      </c>
      <c r="C41" t="s">
        <v>69</v>
      </c>
    </row>
    <row r="42" spans="1:16" x14ac:dyDescent="0.25">
      <c r="A42" s="4" t="s">
        <v>44</v>
      </c>
      <c r="B42" s="6"/>
      <c r="C42" t="s">
        <v>45</v>
      </c>
      <c r="E42" t="s">
        <v>6</v>
      </c>
      <c r="L42">
        <v>205000</v>
      </c>
    </row>
    <row r="43" spans="1:16" s="3" customFormat="1" x14ac:dyDescent="0.25">
      <c r="A43" s="3" t="s">
        <v>70</v>
      </c>
      <c r="C43" s="3" t="s">
        <v>71</v>
      </c>
      <c r="E43" s="3" t="s">
        <v>6</v>
      </c>
      <c r="H43" s="3">
        <v>1000</v>
      </c>
      <c r="L43" s="3">
        <v>1000</v>
      </c>
      <c r="N43" s="3">
        <v>1000</v>
      </c>
    </row>
    <row r="44" spans="1:16" s="3" customFormat="1" x14ac:dyDescent="0.25">
      <c r="A44" s="3" t="s">
        <v>50</v>
      </c>
      <c r="C44" s="3" t="s">
        <v>13</v>
      </c>
      <c r="E44" s="3" t="s">
        <v>6</v>
      </c>
      <c r="H44" s="3">
        <v>13000</v>
      </c>
      <c r="L44" s="3">
        <v>13000</v>
      </c>
      <c r="N44" s="3">
        <v>13000</v>
      </c>
    </row>
    <row r="45" spans="1:16" s="3" customFormat="1" x14ac:dyDescent="0.25">
      <c r="A45" s="3" t="s">
        <v>72</v>
      </c>
      <c r="C45" s="3" t="s">
        <v>41</v>
      </c>
      <c r="E45" s="3" t="s">
        <v>6</v>
      </c>
      <c r="H45" s="3">
        <v>13000</v>
      </c>
      <c r="L45" s="3">
        <v>13000</v>
      </c>
      <c r="N45" s="3">
        <v>13000</v>
      </c>
    </row>
    <row r="46" spans="1:16" s="3" customFormat="1" x14ac:dyDescent="0.25">
      <c r="A46" s="3" t="s">
        <v>73</v>
      </c>
      <c r="C46" s="3" t="s">
        <v>74</v>
      </c>
      <c r="E46" s="3" t="s">
        <v>22</v>
      </c>
      <c r="H46" s="3">
        <v>28500</v>
      </c>
      <c r="J46" s="3">
        <v>143600</v>
      </c>
      <c r="L46" s="3">
        <v>172100</v>
      </c>
      <c r="N46" s="3">
        <v>172100</v>
      </c>
    </row>
    <row r="47" spans="1:16" x14ac:dyDescent="0.25">
      <c r="A47" s="3" t="s">
        <v>38</v>
      </c>
      <c r="C47" s="3" t="s">
        <v>39</v>
      </c>
      <c r="E47" s="3" t="s">
        <v>6</v>
      </c>
      <c r="H47" s="3">
        <v>23000</v>
      </c>
      <c r="L47" s="3">
        <v>23000</v>
      </c>
      <c r="N47" s="3">
        <v>23000</v>
      </c>
    </row>
    <row r="48" spans="1:16" x14ac:dyDescent="0.25">
      <c r="A48" s="3" t="s">
        <v>75</v>
      </c>
      <c r="B48" s="2" t="s">
        <v>63</v>
      </c>
      <c r="C48" s="3" t="s">
        <v>76</v>
      </c>
      <c r="E48" s="3" t="s">
        <v>6</v>
      </c>
      <c r="H48" s="3">
        <v>7800</v>
      </c>
      <c r="L48" s="3">
        <v>7800</v>
      </c>
      <c r="N48" s="3">
        <v>7800</v>
      </c>
    </row>
    <row r="55" spans="4:14" ht="15.75" thickBot="1" x14ac:dyDescent="0.3"/>
    <row r="56" spans="4:14" x14ac:dyDescent="0.25">
      <c r="D56" s="9"/>
      <c r="E56" s="13"/>
    </row>
    <row r="57" spans="4:14" ht="15.75" thickBot="1" x14ac:dyDescent="0.3">
      <c r="D57" s="10"/>
      <c r="E57" s="13"/>
      <c r="H57">
        <f>SUM(H2:H56)</f>
        <v>846900</v>
      </c>
      <c r="L57">
        <f>SUM(L4:L56)</f>
        <v>1774230</v>
      </c>
      <c r="N57">
        <f>SUM(N3:N56)</f>
        <v>973505</v>
      </c>
    </row>
    <row r="58" spans="4:14" ht="15.75" thickBot="1" x14ac:dyDescent="0.3">
      <c r="D58" s="10"/>
      <c r="E58" s="13"/>
      <c r="F58" s="15"/>
    </row>
    <row r="59" spans="4:14" ht="15.75" thickBot="1" x14ac:dyDescent="0.3">
      <c r="D59" s="10"/>
      <c r="E59" s="13"/>
      <c r="F59" s="14"/>
    </row>
    <row r="60" spans="4:14" ht="15.75" thickBot="1" x14ac:dyDescent="0.3">
      <c r="D60" s="10"/>
      <c r="E60" s="13"/>
      <c r="F60" s="14"/>
    </row>
    <row r="61" spans="4:14" ht="15.75" thickBot="1" x14ac:dyDescent="0.3">
      <c r="D61" s="11"/>
      <c r="E61" s="13"/>
      <c r="F61" s="14"/>
    </row>
    <row r="62" spans="4:14" ht="15.75" thickBot="1" x14ac:dyDescent="0.3">
      <c r="D62" s="12"/>
      <c r="E62" s="13"/>
      <c r="F62" s="14"/>
    </row>
    <row r="63" spans="4:14" ht="15.75" thickBot="1" x14ac:dyDescent="0.3">
      <c r="D63" s="14"/>
      <c r="E63" s="13"/>
      <c r="F63" s="14"/>
    </row>
    <row r="64" spans="4:14" ht="15.75" thickBot="1" x14ac:dyDescent="0.3">
      <c r="D64" s="14"/>
      <c r="E64" s="13"/>
      <c r="F64" s="14"/>
    </row>
    <row r="65" spans="4:5" ht="15.75" thickBot="1" x14ac:dyDescent="0.3">
      <c r="D65" s="14"/>
      <c r="E65" s="13"/>
    </row>
    <row r="66" spans="4:5" ht="15.75" thickBot="1" x14ac:dyDescent="0.3">
      <c r="D66" s="15"/>
    </row>
    <row r="67" spans="4:5" ht="15.75" thickBot="1" x14ac:dyDescent="0.3">
      <c r="D67" s="14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2023-12-18T06:13:13Z</dcterms:modified>
</cp:coreProperties>
</file>